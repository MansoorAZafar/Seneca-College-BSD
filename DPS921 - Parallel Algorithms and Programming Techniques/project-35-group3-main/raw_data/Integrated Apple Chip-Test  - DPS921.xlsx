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data-analysis" sheetId="2" r:id="rId6"/>
    <sheet state="visible" name="graphing" sheetId="3" r:id="rId7"/>
  </sheets>
  <definedNames/>
  <calcPr/>
</workbook>
</file>

<file path=xl/sharedStrings.xml><?xml version="1.0" encoding="utf-8"?>
<sst xmlns="http://schemas.openxmlformats.org/spreadsheetml/2006/main" count="140" uniqueCount="23">
  <si>
    <t>mode</t>
  </si>
  <si>
    <t>run</t>
  </si>
  <si>
    <t>wall_ms</t>
  </si>
  <si>
    <t>gpu_ms</t>
  </si>
  <si>
    <t>cpu_cores</t>
  </si>
  <si>
    <t>width</t>
  </si>
  <si>
    <t>height</t>
  </si>
  <si>
    <t>light_intensity</t>
  </si>
  <si>
    <t>reflection_rays</t>
  </si>
  <si>
    <t>radiosity_workgroups_per_frame</t>
  </si>
  <si>
    <t>render_scale</t>
  </si>
  <si>
    <t>raytracer_workgroup</t>
  </si>
  <si>
    <t>photons_per_workgroup</t>
  </si>
  <si>
    <t>gpu</t>
  </si>
  <si>
    <t>16x16</t>
  </si>
  <si>
    <t>cpu_sequential</t>
  </si>
  <si>
    <t>cpu_parallel</t>
  </si>
  <si>
    <t>avg. time (ms)</t>
  </si>
  <si>
    <t>actual speed up</t>
  </si>
  <si>
    <t>efficiency</t>
  </si>
  <si>
    <t>amdahl speedup</t>
  </si>
  <si>
    <t>parallel fraction</t>
  </si>
  <si>
    <t>avg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</si>
</sst>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Acutal Speed-up vs Predicted Speed-up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'data-analysis'!$B$9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'data-analysis'!$A$10:$A$12</c:f>
            </c:numRef>
          </c:xVal>
          <c:yVal>
            <c:numRef>
              <c:f>'data-analysis'!$B$10:$B$12</c:f>
              <c:numCache/>
            </c:numRef>
          </c:yVal>
        </c:ser>
        <c:ser>
          <c:idx val="1"/>
          <c:order val="1"/>
          <c:tx>
            <c:v>Amdahl speedup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'data-analysis'!$A$10:$A$12</c:f>
            </c:numRef>
          </c:xVal>
          <c:yVal>
            <c:numRef>
              <c:f>'data-analysis'!$C$10:$C$12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331797"/>
        <c:axId val="1278640805"/>
      </c:scatterChart>
      <c:valAx>
        <c:axId val="20413317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640805"/>
      </c:valAx>
      <c:valAx>
        <c:axId val="1278640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 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331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Core Count vs Render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graphing!$C$1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graphing!$B$2:$B$5</c:f>
            </c:numRef>
          </c:xVal>
          <c:yVal>
            <c:numRef>
              <c:f>graphing!$C$2:$C$5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88775"/>
        <c:axId val="471259608"/>
      </c:scatterChart>
      <c:valAx>
        <c:axId val="113988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259608"/>
      </c:valAx>
      <c:valAx>
        <c:axId val="471259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avg. 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88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Processing Mode vs Render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graphing!$F$1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graphing!$E$2:$E$4</c:f>
            </c:strRef>
          </c:cat>
          <c:val>
            <c:numRef>
              <c:f>graphing!$F$2:$F$4</c:f>
              <c:numCache/>
            </c:numRef>
          </c:val>
        </c:ser>
        <c:axId val="1552067447"/>
        <c:axId val="606344175"/>
      </c:barChart>
      <c:catAx>
        <c:axId val="1552067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344175"/>
      </c:catAx>
      <c:valAx>
        <c:axId val="606344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time (ms)</a:t>
                </a:r>
              </a:p>
            </c:rich>
          </c:tx>
          <c:layout>
            <c:manualLayout>
              <c:xMode val="edge"/>
              <c:yMode val="edge"/>
              <c:x val="0.03258333333333333"/>
              <c:y val="0.137241689128481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067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1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5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219075</xdr:colOff>
      <xdr:row>5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1.0</v>
      </c>
      <c r="C2" s="2">
        <v>8.7</v>
      </c>
      <c r="D2" s="2">
        <v>4.5875</v>
      </c>
      <c r="E2" s="3"/>
      <c r="F2" s="2">
        <v>1362.0</v>
      </c>
      <c r="G2" s="2">
        <v>582.0</v>
      </c>
      <c r="H2" s="2">
        <v>1.0</v>
      </c>
      <c r="I2" s="2">
        <v>5.0</v>
      </c>
      <c r="J2" s="2">
        <v>1024.0</v>
      </c>
      <c r="K2" s="2">
        <v>1.0</v>
      </c>
      <c r="L2" s="1" t="s">
        <v>14</v>
      </c>
      <c r="M2" s="2">
        <v>256.0</v>
      </c>
    </row>
    <row r="3">
      <c r="A3" s="1" t="s">
        <v>13</v>
      </c>
      <c r="B3" s="2">
        <v>2.0</v>
      </c>
      <c r="C3" s="2">
        <v>10.1</v>
      </c>
      <c r="D3" s="2">
        <v>6.5536</v>
      </c>
      <c r="E3" s="3"/>
      <c r="F3" s="2">
        <v>1362.0</v>
      </c>
      <c r="G3" s="2">
        <v>582.0</v>
      </c>
      <c r="H3" s="2">
        <v>1.0</v>
      </c>
      <c r="I3" s="2">
        <v>5.0</v>
      </c>
      <c r="J3" s="2">
        <v>1024.0</v>
      </c>
      <c r="K3" s="2">
        <v>1.0</v>
      </c>
      <c r="L3" s="1" t="s">
        <v>14</v>
      </c>
      <c r="M3" s="2">
        <v>256.0</v>
      </c>
    </row>
    <row r="4">
      <c r="A4" s="1" t="s">
        <v>13</v>
      </c>
      <c r="B4" s="2">
        <v>3.0</v>
      </c>
      <c r="C4" s="2">
        <v>7.0</v>
      </c>
      <c r="D4" s="2">
        <v>4.6531</v>
      </c>
      <c r="E4" s="3"/>
      <c r="F4" s="2">
        <v>1362.0</v>
      </c>
      <c r="G4" s="2">
        <v>582.0</v>
      </c>
      <c r="H4" s="2">
        <v>1.0</v>
      </c>
      <c r="I4" s="2">
        <v>5.0</v>
      </c>
      <c r="J4" s="2">
        <v>1024.0</v>
      </c>
      <c r="K4" s="2">
        <v>1.0</v>
      </c>
      <c r="L4" s="1" t="s">
        <v>14</v>
      </c>
      <c r="M4" s="2">
        <v>256.0</v>
      </c>
    </row>
    <row r="5">
      <c r="A5" s="1" t="s">
        <v>13</v>
      </c>
      <c r="B5" s="2">
        <v>4.0</v>
      </c>
      <c r="C5" s="2">
        <v>9.2</v>
      </c>
      <c r="D5" s="2">
        <v>5.1118</v>
      </c>
      <c r="E5" s="3"/>
      <c r="F5" s="2">
        <v>1362.0</v>
      </c>
      <c r="G5" s="2">
        <v>582.0</v>
      </c>
      <c r="H5" s="2">
        <v>1.0</v>
      </c>
      <c r="I5" s="2">
        <v>5.0</v>
      </c>
      <c r="J5" s="2">
        <v>1024.0</v>
      </c>
      <c r="K5" s="2">
        <v>1.0</v>
      </c>
      <c r="L5" s="1" t="s">
        <v>14</v>
      </c>
      <c r="M5" s="2">
        <v>256.0</v>
      </c>
    </row>
    <row r="6">
      <c r="A6" s="1" t="s">
        <v>13</v>
      </c>
      <c r="B6" s="2">
        <v>5.0</v>
      </c>
      <c r="C6" s="2">
        <v>8.1</v>
      </c>
      <c r="D6" s="2">
        <v>4.5875</v>
      </c>
      <c r="E6" s="3"/>
      <c r="F6" s="2">
        <v>1362.0</v>
      </c>
      <c r="G6" s="2">
        <v>582.0</v>
      </c>
      <c r="H6" s="2">
        <v>1.0</v>
      </c>
      <c r="I6" s="2">
        <v>5.0</v>
      </c>
      <c r="J6" s="2">
        <v>1024.0</v>
      </c>
      <c r="K6" s="2">
        <v>1.0</v>
      </c>
      <c r="L6" s="1" t="s">
        <v>14</v>
      </c>
      <c r="M6" s="2">
        <v>256.0</v>
      </c>
    </row>
    <row r="7">
      <c r="A7" s="1" t="s">
        <v>13</v>
      </c>
      <c r="B7" s="2">
        <v>6.0</v>
      </c>
      <c r="C7" s="2">
        <v>9.1</v>
      </c>
      <c r="D7" s="2">
        <v>5.7672</v>
      </c>
      <c r="E7" s="3"/>
      <c r="F7" s="2">
        <v>1362.0</v>
      </c>
      <c r="G7" s="2">
        <v>582.0</v>
      </c>
      <c r="H7" s="2">
        <v>1.0</v>
      </c>
      <c r="I7" s="2">
        <v>5.0</v>
      </c>
      <c r="J7" s="2">
        <v>1024.0</v>
      </c>
      <c r="K7" s="2">
        <v>1.0</v>
      </c>
      <c r="L7" s="1" t="s">
        <v>14</v>
      </c>
      <c r="M7" s="2">
        <v>256.0</v>
      </c>
    </row>
    <row r="8">
      <c r="A8" s="1" t="s">
        <v>13</v>
      </c>
      <c r="B8" s="2">
        <v>7.0</v>
      </c>
      <c r="C8" s="2">
        <v>4.2</v>
      </c>
      <c r="D8" s="2">
        <v>1.9661</v>
      </c>
      <c r="E8" s="3"/>
      <c r="F8" s="2">
        <v>1362.0</v>
      </c>
      <c r="G8" s="2">
        <v>582.0</v>
      </c>
      <c r="H8" s="2">
        <v>1.0</v>
      </c>
      <c r="I8" s="2">
        <v>5.0</v>
      </c>
      <c r="J8" s="2">
        <v>1024.0</v>
      </c>
      <c r="K8" s="2">
        <v>1.0</v>
      </c>
      <c r="L8" s="1" t="s">
        <v>14</v>
      </c>
      <c r="M8" s="2">
        <v>256.0</v>
      </c>
    </row>
    <row r="9">
      <c r="A9" s="1" t="s">
        <v>13</v>
      </c>
      <c r="B9" s="2">
        <v>8.0</v>
      </c>
      <c r="C9" s="2">
        <v>5.2</v>
      </c>
      <c r="D9" s="2">
        <v>1.835</v>
      </c>
      <c r="E9" s="3"/>
      <c r="F9" s="2">
        <v>1362.0</v>
      </c>
      <c r="G9" s="2">
        <v>582.0</v>
      </c>
      <c r="H9" s="2">
        <v>1.0</v>
      </c>
      <c r="I9" s="2">
        <v>5.0</v>
      </c>
      <c r="J9" s="2">
        <v>1024.0</v>
      </c>
      <c r="K9" s="2">
        <v>1.0</v>
      </c>
      <c r="L9" s="1" t="s">
        <v>14</v>
      </c>
      <c r="M9" s="2">
        <v>256.0</v>
      </c>
    </row>
    <row r="10">
      <c r="A10" s="1" t="s">
        <v>13</v>
      </c>
      <c r="B10" s="2">
        <v>9.0</v>
      </c>
      <c r="C10" s="2">
        <v>4.7</v>
      </c>
      <c r="D10" s="2">
        <v>1.7039</v>
      </c>
      <c r="E10" s="3"/>
      <c r="F10" s="2">
        <v>1362.0</v>
      </c>
      <c r="G10" s="2">
        <v>582.0</v>
      </c>
      <c r="H10" s="2">
        <v>1.0</v>
      </c>
      <c r="I10" s="2">
        <v>5.0</v>
      </c>
      <c r="J10" s="2">
        <v>1024.0</v>
      </c>
      <c r="K10" s="2">
        <v>1.0</v>
      </c>
      <c r="L10" s="1" t="s">
        <v>14</v>
      </c>
      <c r="M10" s="2">
        <v>256.0</v>
      </c>
    </row>
    <row r="11">
      <c r="A11" s="1" t="s">
        <v>13</v>
      </c>
      <c r="B11" s="2">
        <v>10.0</v>
      </c>
      <c r="C11" s="2">
        <v>4.0</v>
      </c>
      <c r="D11" s="2">
        <v>1.835</v>
      </c>
      <c r="E11" s="3"/>
      <c r="F11" s="2">
        <v>1362.0</v>
      </c>
      <c r="G11" s="2">
        <v>582.0</v>
      </c>
      <c r="H11" s="2">
        <v>1.0</v>
      </c>
      <c r="I11" s="2">
        <v>5.0</v>
      </c>
      <c r="J11" s="2">
        <v>1024.0</v>
      </c>
      <c r="K11" s="2">
        <v>1.0</v>
      </c>
      <c r="L11" s="1" t="s">
        <v>14</v>
      </c>
      <c r="M11" s="2">
        <v>256.0</v>
      </c>
    </row>
    <row r="12">
      <c r="A12" s="1" t="s">
        <v>15</v>
      </c>
      <c r="B12" s="2">
        <v>1.0</v>
      </c>
      <c r="C12" s="2">
        <v>745.2</v>
      </c>
      <c r="D12" s="3"/>
      <c r="E12" s="2">
        <v>1.0</v>
      </c>
      <c r="F12" s="2">
        <v>1362.0</v>
      </c>
      <c r="G12" s="2">
        <v>582.0</v>
      </c>
      <c r="H12" s="2">
        <v>1.0</v>
      </c>
      <c r="I12" s="2">
        <v>5.0</v>
      </c>
      <c r="J12" s="2">
        <v>1024.0</v>
      </c>
      <c r="K12" s="2">
        <v>1.0</v>
      </c>
      <c r="L12" s="1" t="s">
        <v>14</v>
      </c>
      <c r="M12" s="2">
        <v>256.0</v>
      </c>
    </row>
    <row r="13">
      <c r="A13" s="1" t="s">
        <v>15</v>
      </c>
      <c r="B13" s="2">
        <v>2.0</v>
      </c>
      <c r="C13" s="2">
        <v>717.0</v>
      </c>
      <c r="D13" s="3"/>
      <c r="E13" s="2">
        <v>1.0</v>
      </c>
      <c r="F13" s="2">
        <v>1362.0</v>
      </c>
      <c r="G13" s="2">
        <v>582.0</v>
      </c>
      <c r="H13" s="2">
        <v>1.0</v>
      </c>
      <c r="I13" s="2">
        <v>5.0</v>
      </c>
      <c r="J13" s="2">
        <v>1024.0</v>
      </c>
      <c r="K13" s="2">
        <v>1.0</v>
      </c>
      <c r="L13" s="1" t="s">
        <v>14</v>
      </c>
      <c r="M13" s="2">
        <v>256.0</v>
      </c>
    </row>
    <row r="14">
      <c r="A14" s="1" t="s">
        <v>15</v>
      </c>
      <c r="B14" s="2">
        <v>3.0</v>
      </c>
      <c r="C14" s="2">
        <v>721.0</v>
      </c>
      <c r="D14" s="3"/>
      <c r="E14" s="2">
        <v>1.0</v>
      </c>
      <c r="F14" s="2">
        <v>1362.0</v>
      </c>
      <c r="G14" s="2">
        <v>582.0</v>
      </c>
      <c r="H14" s="2">
        <v>1.0</v>
      </c>
      <c r="I14" s="2">
        <v>5.0</v>
      </c>
      <c r="J14" s="2">
        <v>1024.0</v>
      </c>
      <c r="K14" s="2">
        <v>1.0</v>
      </c>
      <c r="L14" s="1" t="s">
        <v>14</v>
      </c>
      <c r="M14" s="2">
        <v>256.0</v>
      </c>
    </row>
    <row r="15">
      <c r="A15" s="1" t="s">
        <v>15</v>
      </c>
      <c r="B15" s="2">
        <v>4.0</v>
      </c>
      <c r="C15" s="2">
        <v>731.7</v>
      </c>
      <c r="D15" s="3"/>
      <c r="E15" s="2">
        <v>1.0</v>
      </c>
      <c r="F15" s="2">
        <v>1362.0</v>
      </c>
      <c r="G15" s="2">
        <v>582.0</v>
      </c>
      <c r="H15" s="2">
        <v>1.0</v>
      </c>
      <c r="I15" s="2">
        <v>5.0</v>
      </c>
      <c r="J15" s="2">
        <v>1024.0</v>
      </c>
      <c r="K15" s="2">
        <v>1.0</v>
      </c>
      <c r="L15" s="1" t="s">
        <v>14</v>
      </c>
      <c r="M15" s="2">
        <v>256.0</v>
      </c>
    </row>
    <row r="16">
      <c r="A16" s="1" t="s">
        <v>15</v>
      </c>
      <c r="B16" s="2">
        <v>5.0</v>
      </c>
      <c r="C16" s="2">
        <v>727.3</v>
      </c>
      <c r="D16" s="3"/>
      <c r="E16" s="2">
        <v>1.0</v>
      </c>
      <c r="F16" s="2">
        <v>1362.0</v>
      </c>
      <c r="G16" s="2">
        <v>582.0</v>
      </c>
      <c r="H16" s="2">
        <v>1.0</v>
      </c>
      <c r="I16" s="2">
        <v>5.0</v>
      </c>
      <c r="J16" s="2">
        <v>1024.0</v>
      </c>
      <c r="K16" s="2">
        <v>1.0</v>
      </c>
      <c r="L16" s="1" t="s">
        <v>14</v>
      </c>
      <c r="M16" s="2">
        <v>256.0</v>
      </c>
    </row>
    <row r="17">
      <c r="A17" s="1" t="s">
        <v>15</v>
      </c>
      <c r="B17" s="2">
        <v>6.0</v>
      </c>
      <c r="C17" s="2">
        <v>726.5</v>
      </c>
      <c r="D17" s="3"/>
      <c r="E17" s="2">
        <v>1.0</v>
      </c>
      <c r="F17" s="2">
        <v>1362.0</v>
      </c>
      <c r="G17" s="2">
        <v>582.0</v>
      </c>
      <c r="H17" s="2">
        <v>1.0</v>
      </c>
      <c r="I17" s="2">
        <v>5.0</v>
      </c>
      <c r="J17" s="2">
        <v>1024.0</v>
      </c>
      <c r="K17" s="2">
        <v>1.0</v>
      </c>
      <c r="L17" s="1" t="s">
        <v>14</v>
      </c>
      <c r="M17" s="2">
        <v>256.0</v>
      </c>
    </row>
    <row r="18">
      <c r="A18" s="1" t="s">
        <v>15</v>
      </c>
      <c r="B18" s="2">
        <v>7.0</v>
      </c>
      <c r="C18" s="2">
        <v>706.1</v>
      </c>
      <c r="D18" s="3"/>
      <c r="E18" s="2">
        <v>1.0</v>
      </c>
      <c r="F18" s="2">
        <v>1362.0</v>
      </c>
      <c r="G18" s="2">
        <v>582.0</v>
      </c>
      <c r="H18" s="2">
        <v>1.0</v>
      </c>
      <c r="I18" s="2">
        <v>5.0</v>
      </c>
      <c r="J18" s="2">
        <v>1024.0</v>
      </c>
      <c r="K18" s="2">
        <v>1.0</v>
      </c>
      <c r="L18" s="1" t="s">
        <v>14</v>
      </c>
      <c r="M18" s="2">
        <v>256.0</v>
      </c>
    </row>
    <row r="19">
      <c r="A19" s="1" t="s">
        <v>15</v>
      </c>
      <c r="B19" s="2">
        <v>8.0</v>
      </c>
      <c r="C19" s="2">
        <v>732.3</v>
      </c>
      <c r="D19" s="3"/>
      <c r="E19" s="2">
        <v>1.0</v>
      </c>
      <c r="F19" s="2">
        <v>1362.0</v>
      </c>
      <c r="G19" s="2">
        <v>582.0</v>
      </c>
      <c r="H19" s="2">
        <v>1.0</v>
      </c>
      <c r="I19" s="2">
        <v>5.0</v>
      </c>
      <c r="J19" s="2">
        <v>1024.0</v>
      </c>
      <c r="K19" s="2">
        <v>1.0</v>
      </c>
      <c r="L19" s="1" t="s">
        <v>14</v>
      </c>
      <c r="M19" s="2">
        <v>256.0</v>
      </c>
    </row>
    <row r="20">
      <c r="A20" s="1" t="s">
        <v>15</v>
      </c>
      <c r="B20" s="2">
        <v>9.0</v>
      </c>
      <c r="C20" s="2">
        <v>774.9</v>
      </c>
      <c r="D20" s="3"/>
      <c r="E20" s="2">
        <v>1.0</v>
      </c>
      <c r="F20" s="2">
        <v>1362.0</v>
      </c>
      <c r="G20" s="2">
        <v>582.0</v>
      </c>
      <c r="H20" s="2">
        <v>1.0</v>
      </c>
      <c r="I20" s="2">
        <v>5.0</v>
      </c>
      <c r="J20" s="2">
        <v>1024.0</v>
      </c>
      <c r="K20" s="2">
        <v>1.0</v>
      </c>
      <c r="L20" s="1" t="s">
        <v>14</v>
      </c>
      <c r="M20" s="2">
        <v>256.0</v>
      </c>
    </row>
    <row r="21">
      <c r="A21" s="1" t="s">
        <v>15</v>
      </c>
      <c r="B21" s="2">
        <v>10.0</v>
      </c>
      <c r="C21" s="2">
        <v>710.4</v>
      </c>
      <c r="D21" s="3"/>
      <c r="E21" s="2">
        <v>1.0</v>
      </c>
      <c r="F21" s="2">
        <v>1362.0</v>
      </c>
      <c r="G21" s="2">
        <v>582.0</v>
      </c>
      <c r="H21" s="2">
        <v>1.0</v>
      </c>
      <c r="I21" s="2">
        <v>5.0</v>
      </c>
      <c r="J21" s="2">
        <v>1024.0</v>
      </c>
      <c r="K21" s="2">
        <v>1.0</v>
      </c>
      <c r="L21" s="1" t="s">
        <v>14</v>
      </c>
      <c r="M21" s="2">
        <v>256.0</v>
      </c>
    </row>
    <row r="22">
      <c r="A22" s="1" t="s">
        <v>16</v>
      </c>
      <c r="B22" s="2">
        <v>1.0</v>
      </c>
      <c r="C22" s="2">
        <v>389.2</v>
      </c>
      <c r="D22" s="3"/>
      <c r="E22" s="2">
        <v>2.0</v>
      </c>
      <c r="F22" s="2">
        <v>1362.0</v>
      </c>
      <c r="G22" s="2">
        <v>582.0</v>
      </c>
      <c r="H22" s="2">
        <v>1.0</v>
      </c>
      <c r="I22" s="2">
        <v>5.0</v>
      </c>
      <c r="J22" s="2">
        <v>1024.0</v>
      </c>
      <c r="K22" s="2">
        <v>1.0</v>
      </c>
      <c r="L22" s="1" t="s">
        <v>14</v>
      </c>
      <c r="M22" s="2">
        <v>256.0</v>
      </c>
    </row>
    <row r="23">
      <c r="A23" s="1" t="s">
        <v>16</v>
      </c>
      <c r="B23" s="2">
        <v>2.0</v>
      </c>
      <c r="C23" s="2">
        <v>368.8</v>
      </c>
      <c r="D23" s="3"/>
      <c r="E23" s="2">
        <v>2.0</v>
      </c>
      <c r="F23" s="2">
        <v>1362.0</v>
      </c>
      <c r="G23" s="2">
        <v>582.0</v>
      </c>
      <c r="H23" s="2">
        <v>1.0</v>
      </c>
      <c r="I23" s="2">
        <v>5.0</v>
      </c>
      <c r="J23" s="2">
        <v>1024.0</v>
      </c>
      <c r="K23" s="2">
        <v>1.0</v>
      </c>
      <c r="L23" s="1" t="s">
        <v>14</v>
      </c>
      <c r="M23" s="2">
        <v>256.0</v>
      </c>
    </row>
    <row r="24">
      <c r="A24" s="1" t="s">
        <v>16</v>
      </c>
      <c r="B24" s="2">
        <v>3.0</v>
      </c>
      <c r="C24" s="2">
        <v>371.5</v>
      </c>
      <c r="D24" s="3"/>
      <c r="E24" s="2">
        <v>2.0</v>
      </c>
      <c r="F24" s="2">
        <v>1362.0</v>
      </c>
      <c r="G24" s="2">
        <v>582.0</v>
      </c>
      <c r="H24" s="2">
        <v>1.0</v>
      </c>
      <c r="I24" s="2">
        <v>5.0</v>
      </c>
      <c r="J24" s="2">
        <v>1024.0</v>
      </c>
      <c r="K24" s="2">
        <v>1.0</v>
      </c>
      <c r="L24" s="1" t="s">
        <v>14</v>
      </c>
      <c r="M24" s="2">
        <v>256.0</v>
      </c>
    </row>
    <row r="25">
      <c r="A25" s="1" t="s">
        <v>16</v>
      </c>
      <c r="B25" s="2">
        <v>4.0</v>
      </c>
      <c r="C25" s="2">
        <v>363.4</v>
      </c>
      <c r="D25" s="3"/>
      <c r="E25" s="2">
        <v>2.0</v>
      </c>
      <c r="F25" s="2">
        <v>1362.0</v>
      </c>
      <c r="G25" s="2">
        <v>582.0</v>
      </c>
      <c r="H25" s="2">
        <v>1.0</v>
      </c>
      <c r="I25" s="2">
        <v>5.0</v>
      </c>
      <c r="J25" s="2">
        <v>1024.0</v>
      </c>
      <c r="K25" s="2">
        <v>1.0</v>
      </c>
      <c r="L25" s="1" t="s">
        <v>14</v>
      </c>
      <c r="M25" s="2">
        <v>256.0</v>
      </c>
    </row>
    <row r="26">
      <c r="A26" s="1" t="s">
        <v>16</v>
      </c>
      <c r="B26" s="2">
        <v>5.0</v>
      </c>
      <c r="C26" s="2">
        <v>375.3</v>
      </c>
      <c r="D26" s="3"/>
      <c r="E26" s="2">
        <v>2.0</v>
      </c>
      <c r="F26" s="2">
        <v>1362.0</v>
      </c>
      <c r="G26" s="2">
        <v>582.0</v>
      </c>
      <c r="H26" s="2">
        <v>1.0</v>
      </c>
      <c r="I26" s="2">
        <v>5.0</v>
      </c>
      <c r="J26" s="2">
        <v>1024.0</v>
      </c>
      <c r="K26" s="2">
        <v>1.0</v>
      </c>
      <c r="L26" s="1" t="s">
        <v>14</v>
      </c>
      <c r="M26" s="2">
        <v>256.0</v>
      </c>
    </row>
    <row r="27">
      <c r="A27" s="1" t="s">
        <v>16</v>
      </c>
      <c r="B27" s="2">
        <v>6.0</v>
      </c>
      <c r="C27" s="2">
        <v>366.5</v>
      </c>
      <c r="D27" s="3"/>
      <c r="E27" s="2">
        <v>2.0</v>
      </c>
      <c r="F27" s="2">
        <v>1362.0</v>
      </c>
      <c r="G27" s="2">
        <v>582.0</v>
      </c>
      <c r="H27" s="2">
        <v>1.0</v>
      </c>
      <c r="I27" s="2">
        <v>5.0</v>
      </c>
      <c r="J27" s="2">
        <v>1024.0</v>
      </c>
      <c r="K27" s="2">
        <v>1.0</v>
      </c>
      <c r="L27" s="1" t="s">
        <v>14</v>
      </c>
      <c r="M27" s="2">
        <v>256.0</v>
      </c>
    </row>
    <row r="28">
      <c r="A28" s="1" t="s">
        <v>16</v>
      </c>
      <c r="B28" s="2">
        <v>7.0</v>
      </c>
      <c r="C28" s="2">
        <v>365.5</v>
      </c>
      <c r="D28" s="3"/>
      <c r="E28" s="2">
        <v>2.0</v>
      </c>
      <c r="F28" s="2">
        <v>1362.0</v>
      </c>
      <c r="G28" s="2">
        <v>582.0</v>
      </c>
      <c r="H28" s="2">
        <v>1.0</v>
      </c>
      <c r="I28" s="2">
        <v>5.0</v>
      </c>
      <c r="J28" s="2">
        <v>1024.0</v>
      </c>
      <c r="K28" s="2">
        <v>1.0</v>
      </c>
      <c r="L28" s="1" t="s">
        <v>14</v>
      </c>
      <c r="M28" s="2">
        <v>256.0</v>
      </c>
    </row>
    <row r="29">
      <c r="A29" s="1" t="s">
        <v>16</v>
      </c>
      <c r="B29" s="2">
        <v>8.0</v>
      </c>
      <c r="C29" s="2">
        <v>386.9</v>
      </c>
      <c r="D29" s="3"/>
      <c r="E29" s="2">
        <v>2.0</v>
      </c>
      <c r="F29" s="2">
        <v>1362.0</v>
      </c>
      <c r="G29" s="2">
        <v>582.0</v>
      </c>
      <c r="H29" s="2">
        <v>1.0</v>
      </c>
      <c r="I29" s="2">
        <v>5.0</v>
      </c>
      <c r="J29" s="2">
        <v>1024.0</v>
      </c>
      <c r="K29" s="2">
        <v>1.0</v>
      </c>
      <c r="L29" s="1" t="s">
        <v>14</v>
      </c>
      <c r="M29" s="2">
        <v>256.0</v>
      </c>
    </row>
    <row r="30">
      <c r="A30" s="1" t="s">
        <v>16</v>
      </c>
      <c r="B30" s="2">
        <v>9.0</v>
      </c>
      <c r="C30" s="2">
        <v>370.7</v>
      </c>
      <c r="D30" s="3"/>
      <c r="E30" s="2">
        <v>2.0</v>
      </c>
      <c r="F30" s="2">
        <v>1362.0</v>
      </c>
      <c r="G30" s="2">
        <v>582.0</v>
      </c>
      <c r="H30" s="2">
        <v>1.0</v>
      </c>
      <c r="I30" s="2">
        <v>5.0</v>
      </c>
      <c r="J30" s="2">
        <v>1024.0</v>
      </c>
      <c r="K30" s="2">
        <v>1.0</v>
      </c>
      <c r="L30" s="1" t="s">
        <v>14</v>
      </c>
      <c r="M30" s="2">
        <v>256.0</v>
      </c>
    </row>
    <row r="31">
      <c r="A31" s="1" t="s">
        <v>16</v>
      </c>
      <c r="B31" s="2">
        <v>10.0</v>
      </c>
      <c r="C31" s="2">
        <v>373.5</v>
      </c>
      <c r="D31" s="3"/>
      <c r="E31" s="2">
        <v>2.0</v>
      </c>
      <c r="F31" s="2">
        <v>1362.0</v>
      </c>
      <c r="G31" s="2">
        <v>582.0</v>
      </c>
      <c r="H31" s="2">
        <v>1.0</v>
      </c>
      <c r="I31" s="2">
        <v>5.0</v>
      </c>
      <c r="J31" s="2">
        <v>1024.0</v>
      </c>
      <c r="K31" s="2">
        <v>1.0</v>
      </c>
      <c r="L31" s="1" t="s">
        <v>14</v>
      </c>
      <c r="M31" s="2">
        <v>256.0</v>
      </c>
    </row>
    <row r="32">
      <c r="A32" s="4" t="s">
        <v>16</v>
      </c>
      <c r="B32" s="4">
        <v>1.0</v>
      </c>
      <c r="C32" s="4">
        <v>231.4</v>
      </c>
      <c r="E32" s="4">
        <v>4.0</v>
      </c>
      <c r="F32" s="4">
        <v>1362.0</v>
      </c>
      <c r="G32" s="4">
        <v>582.0</v>
      </c>
      <c r="H32" s="4">
        <v>1.0</v>
      </c>
      <c r="I32" s="4">
        <v>5.0</v>
      </c>
      <c r="J32" s="4">
        <v>1024.0</v>
      </c>
      <c r="K32" s="4">
        <v>1.0</v>
      </c>
      <c r="L32" s="4" t="s">
        <v>14</v>
      </c>
      <c r="M32" s="4">
        <v>256.0</v>
      </c>
    </row>
    <row r="33">
      <c r="A33" s="4" t="s">
        <v>16</v>
      </c>
      <c r="B33" s="4">
        <v>2.0</v>
      </c>
      <c r="C33" s="4">
        <v>194.3</v>
      </c>
      <c r="E33" s="4">
        <v>4.0</v>
      </c>
      <c r="F33" s="4">
        <v>1362.0</v>
      </c>
      <c r="G33" s="4">
        <v>582.0</v>
      </c>
      <c r="H33" s="4">
        <v>1.0</v>
      </c>
      <c r="I33" s="4">
        <v>5.0</v>
      </c>
      <c r="J33" s="4">
        <v>1024.0</v>
      </c>
      <c r="K33" s="4">
        <v>1.0</v>
      </c>
      <c r="L33" s="4" t="s">
        <v>14</v>
      </c>
      <c r="M33" s="4">
        <v>256.0</v>
      </c>
    </row>
    <row r="34">
      <c r="A34" s="4" t="s">
        <v>16</v>
      </c>
      <c r="B34" s="4">
        <v>3.0</v>
      </c>
      <c r="C34" s="4">
        <v>202.5</v>
      </c>
      <c r="E34" s="4">
        <v>4.0</v>
      </c>
      <c r="F34" s="4">
        <v>1362.0</v>
      </c>
      <c r="G34" s="4">
        <v>582.0</v>
      </c>
      <c r="H34" s="4">
        <v>1.0</v>
      </c>
      <c r="I34" s="4">
        <v>5.0</v>
      </c>
      <c r="J34" s="4">
        <v>1024.0</v>
      </c>
      <c r="K34" s="4">
        <v>1.0</v>
      </c>
      <c r="L34" s="4" t="s">
        <v>14</v>
      </c>
      <c r="M34" s="4">
        <v>256.0</v>
      </c>
    </row>
    <row r="35">
      <c r="A35" s="4" t="s">
        <v>16</v>
      </c>
      <c r="B35" s="4">
        <v>4.0</v>
      </c>
      <c r="C35" s="4">
        <v>220.0</v>
      </c>
      <c r="E35" s="4">
        <v>4.0</v>
      </c>
      <c r="F35" s="4">
        <v>1362.0</v>
      </c>
      <c r="G35" s="4">
        <v>582.0</v>
      </c>
      <c r="H35" s="4">
        <v>1.0</v>
      </c>
      <c r="I35" s="4">
        <v>5.0</v>
      </c>
      <c r="J35" s="4">
        <v>1024.0</v>
      </c>
      <c r="K35" s="4">
        <v>1.0</v>
      </c>
      <c r="L35" s="4" t="s">
        <v>14</v>
      </c>
      <c r="M35" s="4">
        <v>256.0</v>
      </c>
    </row>
    <row r="36">
      <c r="A36" s="4" t="s">
        <v>16</v>
      </c>
      <c r="B36" s="4">
        <v>5.0</v>
      </c>
      <c r="C36" s="4">
        <v>186.6</v>
      </c>
      <c r="E36" s="4">
        <v>4.0</v>
      </c>
      <c r="F36" s="4">
        <v>1362.0</v>
      </c>
      <c r="G36" s="4">
        <v>582.0</v>
      </c>
      <c r="H36" s="4">
        <v>1.0</v>
      </c>
      <c r="I36" s="4">
        <v>5.0</v>
      </c>
      <c r="J36" s="4">
        <v>1024.0</v>
      </c>
      <c r="K36" s="4">
        <v>1.0</v>
      </c>
      <c r="L36" s="4" t="s">
        <v>14</v>
      </c>
      <c r="M36" s="4">
        <v>256.0</v>
      </c>
    </row>
    <row r="37">
      <c r="A37" s="4" t="s">
        <v>16</v>
      </c>
      <c r="B37" s="4">
        <v>6.0</v>
      </c>
      <c r="C37" s="4">
        <v>187.7</v>
      </c>
      <c r="E37" s="4">
        <v>4.0</v>
      </c>
      <c r="F37" s="4">
        <v>1362.0</v>
      </c>
      <c r="G37" s="4">
        <v>582.0</v>
      </c>
      <c r="H37" s="4">
        <v>1.0</v>
      </c>
      <c r="I37" s="4">
        <v>5.0</v>
      </c>
      <c r="J37" s="4">
        <v>1024.0</v>
      </c>
      <c r="K37" s="4">
        <v>1.0</v>
      </c>
      <c r="L37" s="4" t="s">
        <v>14</v>
      </c>
      <c r="M37" s="4">
        <v>256.0</v>
      </c>
    </row>
    <row r="38">
      <c r="A38" s="4" t="s">
        <v>16</v>
      </c>
      <c r="B38" s="4">
        <v>7.0</v>
      </c>
      <c r="C38" s="4">
        <v>197.4</v>
      </c>
      <c r="E38" s="4">
        <v>4.0</v>
      </c>
      <c r="F38" s="4">
        <v>1362.0</v>
      </c>
      <c r="G38" s="4">
        <v>582.0</v>
      </c>
      <c r="H38" s="4">
        <v>1.0</v>
      </c>
      <c r="I38" s="4">
        <v>5.0</v>
      </c>
      <c r="J38" s="4">
        <v>1024.0</v>
      </c>
      <c r="K38" s="4">
        <v>1.0</v>
      </c>
      <c r="L38" s="4" t="s">
        <v>14</v>
      </c>
      <c r="M38" s="4">
        <v>256.0</v>
      </c>
    </row>
    <row r="39">
      <c r="A39" s="4" t="s">
        <v>16</v>
      </c>
      <c r="B39" s="4">
        <v>8.0</v>
      </c>
      <c r="C39" s="4">
        <v>201.9</v>
      </c>
      <c r="E39" s="4">
        <v>4.0</v>
      </c>
      <c r="F39" s="4">
        <v>1362.0</v>
      </c>
      <c r="G39" s="4">
        <v>582.0</v>
      </c>
      <c r="H39" s="4">
        <v>1.0</v>
      </c>
      <c r="I39" s="4">
        <v>5.0</v>
      </c>
      <c r="J39" s="4">
        <v>1024.0</v>
      </c>
      <c r="K39" s="4">
        <v>1.0</v>
      </c>
      <c r="L39" s="4" t="s">
        <v>14</v>
      </c>
      <c r="M39" s="4">
        <v>256.0</v>
      </c>
    </row>
    <row r="40">
      <c r="A40" s="4" t="s">
        <v>16</v>
      </c>
      <c r="B40" s="4">
        <v>9.0</v>
      </c>
      <c r="C40" s="4">
        <v>189.1</v>
      </c>
      <c r="E40" s="4">
        <v>4.0</v>
      </c>
      <c r="F40" s="4">
        <v>1362.0</v>
      </c>
      <c r="G40" s="4">
        <v>582.0</v>
      </c>
      <c r="H40" s="4">
        <v>1.0</v>
      </c>
      <c r="I40" s="4">
        <v>5.0</v>
      </c>
      <c r="J40" s="4">
        <v>1024.0</v>
      </c>
      <c r="K40" s="4">
        <v>1.0</v>
      </c>
      <c r="L40" s="4" t="s">
        <v>14</v>
      </c>
      <c r="M40" s="4">
        <v>256.0</v>
      </c>
    </row>
    <row r="41">
      <c r="A41" s="4" t="s">
        <v>16</v>
      </c>
      <c r="B41" s="4">
        <v>10.0</v>
      </c>
      <c r="C41" s="4">
        <v>196.5</v>
      </c>
      <c r="E41" s="4">
        <v>4.0</v>
      </c>
      <c r="F41" s="4">
        <v>1362.0</v>
      </c>
      <c r="G41" s="4">
        <v>582.0</v>
      </c>
      <c r="H41" s="4">
        <v>1.0</v>
      </c>
      <c r="I41" s="4">
        <v>5.0</v>
      </c>
      <c r="J41" s="4">
        <v>1024.0</v>
      </c>
      <c r="K41" s="4">
        <v>1.0</v>
      </c>
      <c r="L41" s="4" t="s">
        <v>14</v>
      </c>
      <c r="M41" s="4">
        <v>256.0</v>
      </c>
    </row>
    <row r="42">
      <c r="A42" s="4" t="s">
        <v>16</v>
      </c>
      <c r="B42" s="4">
        <v>1.0</v>
      </c>
      <c r="C42" s="4">
        <v>188.2</v>
      </c>
      <c r="E42" s="4">
        <v>8.0</v>
      </c>
      <c r="F42" s="4">
        <v>1362.0</v>
      </c>
      <c r="G42" s="4">
        <v>582.0</v>
      </c>
      <c r="H42" s="4">
        <v>1.0</v>
      </c>
      <c r="I42" s="4">
        <v>5.0</v>
      </c>
      <c r="J42" s="4">
        <v>1024.0</v>
      </c>
      <c r="K42" s="4">
        <v>1.0</v>
      </c>
      <c r="L42" s="4" t="s">
        <v>14</v>
      </c>
      <c r="M42" s="4">
        <v>256.0</v>
      </c>
    </row>
    <row r="43">
      <c r="A43" s="4" t="s">
        <v>16</v>
      </c>
      <c r="B43" s="4">
        <v>2.0</v>
      </c>
      <c r="C43" s="4">
        <v>123.1</v>
      </c>
      <c r="E43" s="4">
        <v>8.0</v>
      </c>
      <c r="F43" s="4">
        <v>1362.0</v>
      </c>
      <c r="G43" s="4">
        <v>582.0</v>
      </c>
      <c r="H43" s="4">
        <v>1.0</v>
      </c>
      <c r="I43" s="4">
        <v>5.0</v>
      </c>
      <c r="J43" s="4">
        <v>1024.0</v>
      </c>
      <c r="K43" s="4">
        <v>1.0</v>
      </c>
      <c r="L43" s="4" t="s">
        <v>14</v>
      </c>
      <c r="M43" s="4">
        <v>256.0</v>
      </c>
    </row>
    <row r="44">
      <c r="A44" s="4" t="s">
        <v>16</v>
      </c>
      <c r="B44" s="4">
        <v>3.0</v>
      </c>
      <c r="C44" s="4">
        <v>113.2</v>
      </c>
      <c r="E44" s="4">
        <v>8.0</v>
      </c>
      <c r="F44" s="4">
        <v>1362.0</v>
      </c>
      <c r="G44" s="4">
        <v>582.0</v>
      </c>
      <c r="H44" s="4">
        <v>1.0</v>
      </c>
      <c r="I44" s="4">
        <v>5.0</v>
      </c>
      <c r="J44" s="4">
        <v>1024.0</v>
      </c>
      <c r="K44" s="4">
        <v>1.0</v>
      </c>
      <c r="L44" s="4" t="s">
        <v>14</v>
      </c>
      <c r="M44" s="4">
        <v>256.0</v>
      </c>
    </row>
    <row r="45">
      <c r="A45" s="4" t="s">
        <v>16</v>
      </c>
      <c r="B45" s="4">
        <v>4.0</v>
      </c>
      <c r="C45" s="4">
        <v>113.8</v>
      </c>
      <c r="E45" s="4">
        <v>8.0</v>
      </c>
      <c r="F45" s="4">
        <v>1362.0</v>
      </c>
      <c r="G45" s="4">
        <v>582.0</v>
      </c>
      <c r="H45" s="4">
        <v>1.0</v>
      </c>
      <c r="I45" s="4">
        <v>5.0</v>
      </c>
      <c r="J45" s="4">
        <v>1024.0</v>
      </c>
      <c r="K45" s="4">
        <v>1.0</v>
      </c>
      <c r="L45" s="4" t="s">
        <v>14</v>
      </c>
      <c r="M45" s="4">
        <v>256.0</v>
      </c>
    </row>
    <row r="46">
      <c r="A46" s="4" t="s">
        <v>16</v>
      </c>
      <c r="B46" s="4">
        <v>5.0</v>
      </c>
      <c r="C46" s="4">
        <v>111.2</v>
      </c>
      <c r="E46" s="4">
        <v>8.0</v>
      </c>
      <c r="F46" s="4">
        <v>1362.0</v>
      </c>
      <c r="G46" s="4">
        <v>582.0</v>
      </c>
      <c r="H46" s="4">
        <v>1.0</v>
      </c>
      <c r="I46" s="4">
        <v>5.0</v>
      </c>
      <c r="J46" s="4">
        <v>1024.0</v>
      </c>
      <c r="K46" s="4">
        <v>1.0</v>
      </c>
      <c r="L46" s="4" t="s">
        <v>14</v>
      </c>
      <c r="M46" s="4">
        <v>256.0</v>
      </c>
    </row>
    <row r="47">
      <c r="A47" s="4" t="s">
        <v>16</v>
      </c>
      <c r="B47" s="4">
        <v>6.0</v>
      </c>
      <c r="C47" s="4">
        <v>115.9</v>
      </c>
      <c r="E47" s="4">
        <v>8.0</v>
      </c>
      <c r="F47" s="4">
        <v>1362.0</v>
      </c>
      <c r="G47" s="4">
        <v>582.0</v>
      </c>
      <c r="H47" s="4">
        <v>1.0</v>
      </c>
      <c r="I47" s="4">
        <v>5.0</v>
      </c>
      <c r="J47" s="4">
        <v>1024.0</v>
      </c>
      <c r="K47" s="4">
        <v>1.0</v>
      </c>
      <c r="L47" s="4" t="s">
        <v>14</v>
      </c>
      <c r="M47" s="4">
        <v>256.0</v>
      </c>
    </row>
    <row r="48">
      <c r="A48" s="4" t="s">
        <v>16</v>
      </c>
      <c r="B48" s="4">
        <v>7.0</v>
      </c>
      <c r="C48" s="4">
        <v>117.8</v>
      </c>
      <c r="E48" s="4">
        <v>8.0</v>
      </c>
      <c r="F48" s="4">
        <v>1362.0</v>
      </c>
      <c r="G48" s="4">
        <v>582.0</v>
      </c>
      <c r="H48" s="4">
        <v>1.0</v>
      </c>
      <c r="I48" s="4">
        <v>5.0</v>
      </c>
      <c r="J48" s="4">
        <v>1024.0</v>
      </c>
      <c r="K48" s="4">
        <v>1.0</v>
      </c>
      <c r="L48" s="4" t="s">
        <v>14</v>
      </c>
      <c r="M48" s="4">
        <v>256.0</v>
      </c>
    </row>
    <row r="49">
      <c r="A49" s="4" t="s">
        <v>16</v>
      </c>
      <c r="B49" s="4">
        <v>8.0</v>
      </c>
      <c r="C49" s="4">
        <v>114.6</v>
      </c>
      <c r="E49" s="4">
        <v>8.0</v>
      </c>
      <c r="F49" s="4">
        <v>1362.0</v>
      </c>
      <c r="G49" s="4">
        <v>582.0</v>
      </c>
      <c r="H49" s="4">
        <v>1.0</v>
      </c>
      <c r="I49" s="4">
        <v>5.0</v>
      </c>
      <c r="J49" s="4">
        <v>1024.0</v>
      </c>
      <c r="K49" s="4">
        <v>1.0</v>
      </c>
      <c r="L49" s="4" t="s">
        <v>14</v>
      </c>
      <c r="M49" s="4">
        <v>256.0</v>
      </c>
    </row>
    <row r="50">
      <c r="A50" s="4" t="s">
        <v>16</v>
      </c>
      <c r="B50" s="4">
        <v>9.0</v>
      </c>
      <c r="C50" s="4">
        <v>116.7</v>
      </c>
      <c r="E50" s="4">
        <v>8.0</v>
      </c>
      <c r="F50" s="4">
        <v>1362.0</v>
      </c>
      <c r="G50" s="4">
        <v>582.0</v>
      </c>
      <c r="H50" s="4">
        <v>1.0</v>
      </c>
      <c r="I50" s="4">
        <v>5.0</v>
      </c>
      <c r="J50" s="4">
        <v>1024.0</v>
      </c>
      <c r="K50" s="4">
        <v>1.0</v>
      </c>
      <c r="L50" s="4" t="s">
        <v>14</v>
      </c>
      <c r="M50" s="4">
        <v>256.0</v>
      </c>
    </row>
    <row r="51">
      <c r="A51" s="4" t="s">
        <v>16</v>
      </c>
      <c r="B51" s="4">
        <v>10.0</v>
      </c>
      <c r="C51" s="4">
        <v>111.4</v>
      </c>
      <c r="E51" s="4">
        <v>8.0</v>
      </c>
      <c r="F51" s="4">
        <v>1362.0</v>
      </c>
      <c r="G51" s="4">
        <v>582.0</v>
      </c>
      <c r="H51" s="4">
        <v>1.0</v>
      </c>
      <c r="I51" s="4">
        <v>5.0</v>
      </c>
      <c r="J51" s="4">
        <v>1024.0</v>
      </c>
      <c r="K51" s="4">
        <v>1.0</v>
      </c>
      <c r="L51" s="4" t="s">
        <v>14</v>
      </c>
      <c r="M51" s="4">
        <v>256.0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4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6">
        <v>0.98</v>
      </c>
    </row>
    <row r="2">
      <c r="A2" s="7" t="s">
        <v>15</v>
      </c>
      <c r="B2" s="6">
        <v>1.0</v>
      </c>
      <c r="C2" s="6">
        <f>averageifs(raw!C:C,raw!A:A,A2)</f>
        <v>729.24</v>
      </c>
      <c r="D2" s="6">
        <f t="shared" ref="D2:D5" si="1">$C$2/C2</f>
        <v>1</v>
      </c>
      <c r="E2" s="6">
        <f t="shared" ref="E2:E5" si="2">IF(B2="","",D2/B2)</f>
        <v>1</v>
      </c>
      <c r="F2" s="6">
        <f t="shared" ref="F2:F5" si="3">IF(B2="","",1/((1-$H$1)+$H$1/B2))</f>
        <v>1</v>
      </c>
      <c r="G2" s="5"/>
      <c r="H2" s="5"/>
    </row>
    <row r="3">
      <c r="A3" s="5" t="s">
        <v>16</v>
      </c>
      <c r="B3" s="6">
        <v>2.0</v>
      </c>
      <c r="C3" s="6">
        <f>averageifs(raw!C:C,raw!A:A,A3,raw!E:E,B3)</f>
        <v>373.13</v>
      </c>
      <c r="D3" s="6">
        <f t="shared" si="1"/>
        <v>1.954385871</v>
      </c>
      <c r="E3" s="6">
        <f t="shared" si="2"/>
        <v>0.9771929354</v>
      </c>
      <c r="F3" s="6">
        <f t="shared" si="3"/>
        <v>1.960784314</v>
      </c>
      <c r="G3" s="5"/>
      <c r="H3" s="5"/>
    </row>
    <row r="4">
      <c r="A4" s="5" t="s">
        <v>16</v>
      </c>
      <c r="B4" s="6">
        <v>4.0</v>
      </c>
      <c r="C4" s="6">
        <f>averageifs(raw!C:C,raw!A:A,A4,raw!E:E,B4)</f>
        <v>200.74</v>
      </c>
      <c r="D4" s="6">
        <f t="shared" si="1"/>
        <v>3.632758792</v>
      </c>
      <c r="E4" s="6">
        <f t="shared" si="2"/>
        <v>0.9081896981</v>
      </c>
      <c r="F4" s="6">
        <f t="shared" si="3"/>
        <v>3.773584906</v>
      </c>
      <c r="G4" s="5"/>
      <c r="H4" s="5"/>
    </row>
    <row r="5">
      <c r="A5" s="5" t="s">
        <v>16</v>
      </c>
      <c r="B5" s="6">
        <v>8.0</v>
      </c>
      <c r="C5" s="6">
        <f>averageifs(raw!C:C,raw!A:A,A5,raw!E:E,B5)</f>
        <v>122.59</v>
      </c>
      <c r="D5" s="6">
        <f t="shared" si="1"/>
        <v>5.948609185</v>
      </c>
      <c r="E5" s="6">
        <f t="shared" si="2"/>
        <v>0.7435761481</v>
      </c>
      <c r="F5" s="6">
        <f t="shared" si="3"/>
        <v>7.01754386</v>
      </c>
      <c r="G5" s="5"/>
      <c r="H5" s="5"/>
    </row>
    <row r="6">
      <c r="A6" s="5"/>
      <c r="B6" s="5"/>
      <c r="C6" s="5"/>
      <c r="D6" s="5"/>
      <c r="E6" s="5"/>
      <c r="F6" s="5"/>
      <c r="G6" s="5"/>
      <c r="H6" s="5"/>
    </row>
    <row r="7">
      <c r="A7" s="5" t="s">
        <v>13</v>
      </c>
      <c r="B7" s="5"/>
      <c r="C7" s="6">
        <f>averageifs(raw!C:C,raw!A:A,A7)</f>
        <v>7.03</v>
      </c>
      <c r="D7" s="6">
        <f>$C$2/C7</f>
        <v>103.7325747</v>
      </c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 t="s">
        <v>4</v>
      </c>
      <c r="B9" s="5" t="s">
        <v>18</v>
      </c>
      <c r="C9" s="5" t="s">
        <v>20</v>
      </c>
      <c r="D9" s="5"/>
      <c r="E9" s="5"/>
      <c r="F9" s="5"/>
      <c r="G9" s="5"/>
      <c r="H9" s="5"/>
    </row>
    <row r="10">
      <c r="A10" s="6">
        <v>2.0</v>
      </c>
      <c r="B10" s="6">
        <f t="shared" ref="B10:B12" si="4">D3</f>
        <v>1.954385871</v>
      </c>
      <c r="C10" s="6">
        <f t="shared" ref="C10:C12" si="5">F3</f>
        <v>1.960784314</v>
      </c>
      <c r="D10" s="5"/>
      <c r="E10" s="5"/>
      <c r="F10" s="5"/>
      <c r="G10" s="5"/>
      <c r="H10" s="5"/>
    </row>
    <row r="11">
      <c r="A11" s="6">
        <v>4.0</v>
      </c>
      <c r="B11" s="6">
        <f t="shared" si="4"/>
        <v>3.632758792</v>
      </c>
      <c r="C11" s="6">
        <f t="shared" si="5"/>
        <v>3.773584906</v>
      </c>
      <c r="D11" s="5"/>
      <c r="E11" s="5"/>
      <c r="F11" s="5"/>
      <c r="G11" s="5"/>
      <c r="H11" s="5"/>
    </row>
    <row r="12">
      <c r="A12" s="6">
        <v>8.0</v>
      </c>
      <c r="B12" s="6">
        <f t="shared" si="4"/>
        <v>5.948609185</v>
      </c>
      <c r="C12" s="6">
        <f t="shared" si="5"/>
        <v>7.01754386</v>
      </c>
      <c r="D12" s="5"/>
      <c r="E12" s="5"/>
      <c r="F12" s="5"/>
      <c r="G12" s="5"/>
      <c r="H1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4</v>
      </c>
      <c r="C1" s="5" t="s">
        <v>22</v>
      </c>
      <c r="D1" s="5"/>
      <c r="E1" s="5" t="s">
        <v>0</v>
      </c>
      <c r="F1" s="5" t="s">
        <v>22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15</v>
      </c>
      <c r="B2" s="6">
        <v>1.0</v>
      </c>
      <c r="C2" s="6">
        <f>averageifs(raw!C:C,raw!A:A,A2)</f>
        <v>729.24</v>
      </c>
      <c r="D2" s="5"/>
      <c r="E2" s="5" t="s">
        <v>15</v>
      </c>
      <c r="F2" s="8">
        <f>C2</f>
        <v>729.24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16</v>
      </c>
      <c r="B3" s="6">
        <v>2.0</v>
      </c>
      <c r="C3" s="6">
        <f>averageifs(raw!C:C,raw!A:A,A3,raw!E:E,B3)</f>
        <v>373.13</v>
      </c>
      <c r="D3" s="5"/>
      <c r="E3" s="5" t="s">
        <v>16</v>
      </c>
      <c r="F3" s="8">
        <f>C5</f>
        <v>122.59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16</v>
      </c>
      <c r="B4" s="6">
        <v>4.0</v>
      </c>
      <c r="C4" s="6">
        <f>averageifs(raw!C:C,raw!A:A,A4,raw!E:E,B4)</f>
        <v>200.74</v>
      </c>
      <c r="D4" s="5"/>
      <c r="E4" s="5" t="s">
        <v>13</v>
      </c>
      <c r="F4" s="8">
        <v>7.03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16</v>
      </c>
      <c r="B5" s="6">
        <v>8.0</v>
      </c>
      <c r="C5" s="6">
        <f>averageifs(raw!C:C,raw!A:A,A5,raw!E:E,B5)</f>
        <v>122.59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